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BuÇalışmaKitabı" defaultThemeVersion="164011"/>
  <bookViews>
    <workbookView xWindow="0" yWindow="0" windowWidth="28800" windowHeight="12315"/>
  </bookViews>
  <sheets>
    <sheet name="Bilgiler" sheetId="2" r:id="rId1"/>
    <sheet name="Liste" sheetId="1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0" i="1" l="1"/>
  <c r="A10" i="1" l="1"/>
  <c r="A9" i="1"/>
  <c r="A8" i="1"/>
  <c r="A7" i="1"/>
  <c r="J13" i="1"/>
  <c r="H13" i="1"/>
  <c r="L13" i="1"/>
  <c r="F13" i="1"/>
  <c r="D13" i="1"/>
  <c r="L31" i="1"/>
</calcChain>
</file>

<file path=xl/sharedStrings.xml><?xml version="1.0" encoding="utf-8"?>
<sst xmlns="http://schemas.openxmlformats.org/spreadsheetml/2006/main" count="70" uniqueCount="48">
  <si>
    <t>Öğrenci Adı Soyadı</t>
  </si>
  <si>
    <t>Final Sınavı</t>
  </si>
  <si>
    <t>Notu</t>
  </si>
  <si>
    <t>Başarı Notu</t>
  </si>
  <si>
    <t xml:space="preserve">  MİLLİ SAVUNMA ÜNİVERSİTESİ
ATATÜRK STRATEJİK ARAŞTIRMALAR VE LİSANSÜSTÜ EĞİTİM ENSTİTÜSÜ
2022-2023 EĞİTİM-ÖĞRETİM YILI GÜZ YARIYILI 
SINAV SONUÇ TUTANAĞI</t>
  </si>
  <si>
    <t>Lütfen Bu Sütundaki Bilgileri Giriniz/Seçiniz</t>
  </si>
  <si>
    <t>Ders Kodu:</t>
  </si>
  <si>
    <t>Ders Adı:</t>
  </si>
  <si>
    <t>Ana Bilim Dalı:</t>
  </si>
  <si>
    <t>Programı:</t>
  </si>
  <si>
    <t>Unvan:</t>
  </si>
  <si>
    <t>Ad Soyad:</t>
  </si>
  <si>
    <t>%</t>
  </si>
  <si>
    <t>Final Sınav Yüzdesi:</t>
  </si>
  <si>
    <t>İmza</t>
  </si>
  <si>
    <t>Ara Sınav</t>
  </si>
  <si>
    <t>Açılır Kutudan Seçilecek</t>
  </si>
  <si>
    <t>Açıklama</t>
  </si>
  <si>
    <t>Akademik Unvan</t>
  </si>
  <si>
    <t>Dersi Veren Kişi</t>
  </si>
  <si>
    <t>Ara Sınav2</t>
  </si>
  <si>
    <t>Bir dersin yarıyıl sonu sınavına girmeyen öğrenciye başarı notu olarak “GR” verilir.</t>
  </si>
  <si>
    <r>
      <rPr>
        <b/>
        <sz val="7.5"/>
        <color theme="1"/>
        <rFont val="Calibri"/>
        <family val="2"/>
        <charset val="162"/>
        <scheme val="minor"/>
      </rPr>
      <t>Not:</t>
    </r>
    <r>
      <rPr>
        <sz val="7.5"/>
        <color theme="1"/>
        <rFont val="Calibri"/>
        <family val="2"/>
        <charset val="162"/>
        <scheme val="minor"/>
      </rPr>
      <t xml:space="preserve"> Bir yarıyıl içinde en az iki başarı ölçümü yapılır. İlgili öğretim üyesinin takdirine göre bunlardan biri ya da her ikisi ödev, proje, araştırma ve/veya öğrencinin derse katılımının değerlendirilmesi veya benzeri uygulama çalışması biçiminde yapılabilir.</t>
    </r>
  </si>
  <si>
    <t>Yüksek lisans/doktora programlarında derse devam yükümlülüklerini veya ders uygulamalarına ilişkin koşulları yerine getiremediği için sınava girme hakkını elde edemeyen öğrencilerebaşarı notu olarak "DZ" (Devamsız) verilir.</t>
  </si>
  <si>
    <t>Sınav 1 Yüzdesi:</t>
  </si>
  <si>
    <t>Sınav 1 Tipi:</t>
  </si>
  <si>
    <t>Sınav 2 Tipi:</t>
  </si>
  <si>
    <t>Sınav  2 Yüzdesi:</t>
  </si>
  <si>
    <t>Sınav 3 Tipi</t>
  </si>
  <si>
    <t>Sınav 3 Yüzdesi</t>
  </si>
  <si>
    <t>Sınav 4 Tipi</t>
  </si>
  <si>
    <t>Sınav 4 Yüzdesi</t>
  </si>
  <si>
    <t>Ara Sınav4</t>
  </si>
  <si>
    <t>DHE H1193</t>
  </si>
  <si>
    <t>Algoritma Tasarımı ve Analizi</t>
  </si>
  <si>
    <t>Bilgisayar Mühendisliği/Siber Güvenlik</t>
  </si>
  <si>
    <t>Dr.Öğr. Üyesi</t>
  </si>
  <si>
    <t>Musa MİLLİ</t>
  </si>
  <si>
    <t>Ödev</t>
  </si>
  <si>
    <t>Ödev1</t>
  </si>
  <si>
    <t>Ödev2</t>
  </si>
  <si>
    <t>Yapılmadı</t>
  </si>
  <si>
    <t>Fevzi AYVAZ</t>
  </si>
  <si>
    <t>Shahin AHMADOV</t>
  </si>
  <si>
    <t>Vahdettin DELİBALTA</t>
  </si>
  <si>
    <t>Zülal GÜDÜK AYVAZ</t>
  </si>
  <si>
    <t>Nursaç Kurt</t>
  </si>
  <si>
    <t>Yüksek Lisans/Doktora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</si>
</sst>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rgb="FF212121"/>
      <name val="Times New Roman"/>
      <family val="1"/>
      <charset val="162"/>
    </font>
    <font>
      <b/>
      <sz val="9"/>
      <color theme="1"/>
      <name val="Calibri"/>
      <family val="2"/>
      <charset val="162"/>
      <scheme val="minor"/>
    </font>
    <font>
      <sz val="7"/>
      <color theme="1"/>
      <name val="Calibri"/>
      <family val="2"/>
      <charset val="162"/>
      <scheme val="minor"/>
    </font>
    <font>
      <sz val="7"/>
      <color theme="1"/>
      <name val="Calibri"/>
      <family val="2"/>
      <scheme val="minor"/>
    </font>
    <font>
      <sz val="7.5"/>
      <color theme="1"/>
      <name val="Calibri"/>
      <family val="2"/>
      <charset val="162"/>
      <scheme val="minor"/>
    </font>
    <font>
      <b/>
      <sz val="7.5"/>
      <color theme="1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1" xfId="0" applyBorder="1"/>
    <xf numFmtId="0" fontId="1" fillId="0" borderId="0" xfId="0" applyFont="1" applyAlignment="1">
      <alignment vertical="center"/>
    </xf>
    <xf numFmtId="0" fontId="3" fillId="0" borderId="1" xfId="0" applyFont="1" applyBorder="1" applyAlignment="1">
      <alignment horizontal="center"/>
    </xf>
    <xf numFmtId="0" fontId="1" fillId="0" borderId="12" xfId="0" applyFont="1" applyBorder="1"/>
    <xf numFmtId="0" fontId="0" fillId="0" borderId="13" xfId="0" applyBorder="1"/>
    <xf numFmtId="0" fontId="1" fillId="0" borderId="15" xfId="0" applyFont="1" applyBorder="1"/>
    <xf numFmtId="0" fontId="0" fillId="0" borderId="16" xfId="0" applyBorder="1"/>
    <xf numFmtId="0" fontId="1" fillId="0" borderId="17" xfId="0" applyFont="1" applyBorder="1"/>
    <xf numFmtId="0" fontId="0" fillId="0" borderId="18" xfId="0" applyBorder="1"/>
    <xf numFmtId="0" fontId="1" fillId="0" borderId="13" xfId="0" applyFont="1" applyBorder="1"/>
    <xf numFmtId="0" fontId="1" fillId="0" borderId="14" xfId="0" applyFont="1" applyBorder="1"/>
    <xf numFmtId="0" fontId="1" fillId="0" borderId="19" xfId="0" applyFont="1" applyBorder="1"/>
    <xf numFmtId="0" fontId="0" fillId="0" borderId="8" xfId="0" applyBorder="1"/>
    <xf numFmtId="0" fontId="1" fillId="0" borderId="0" xfId="0" applyFont="1"/>
    <xf numFmtId="0" fontId="4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2" borderId="1" xfId="0" applyFill="1" applyBorder="1"/>
    <xf numFmtId="49" fontId="0" fillId="2" borderId="1" xfId="0" applyNumberFormat="1" applyFill="1" applyBorder="1"/>
    <xf numFmtId="0" fontId="0" fillId="2" borderId="18" xfId="0" applyFill="1" applyBorder="1"/>
    <xf numFmtId="0" fontId="6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1" fillId="0" borderId="10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1</xdr:row>
      <xdr:rowOff>53341</xdr:rowOff>
    </xdr:from>
    <xdr:to>
      <xdr:col>1</xdr:col>
      <xdr:colOff>121920</xdr:colOff>
      <xdr:row>4</xdr:row>
      <xdr:rowOff>213055</xdr:rowOff>
    </xdr:to>
    <xdr:pic>
      <xdr:nvPicPr>
        <xdr:cNvPr id="6" name="Resim 5">
          <a:extLst>
            <a:ext uri="{FF2B5EF4-FFF2-40B4-BE49-F238E27FC236}">
              <a16:creationId xmlns:a16="http://schemas.microsoft.com/office/drawing/2014/main" id="{F9BE0E16-CF37-F84D-CEDA-228798F51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236221"/>
          <a:ext cx="693419" cy="914094"/>
        </a:xfrm>
        <a:prstGeom prst="rect">
          <a:avLst/>
        </a:prstGeom>
      </xdr:spPr>
    </xdr:pic>
    <xdr:clientData/>
  </xdr:twoCellAnchor>
  <xdr:twoCellAnchor editAs="oneCell">
    <xdr:from>
      <xdr:col>11</xdr:col>
      <xdr:colOff>906781</xdr:colOff>
      <xdr:row>1</xdr:row>
      <xdr:rowOff>45721</xdr:rowOff>
    </xdr:from>
    <xdr:to>
      <xdr:col>13</xdr:col>
      <xdr:colOff>0</xdr:colOff>
      <xdr:row>4</xdr:row>
      <xdr:rowOff>205435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AA7A70C0-3513-4D06-8653-B9BCF00E8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56721" y="228601"/>
          <a:ext cx="693419" cy="91409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B2:E18"/>
  <sheetViews>
    <sheetView tabSelected="1" workbookViewId="0">
      <selection activeCell="G10" sqref="G10"/>
    </sheetView>
  </sheetViews>
  <sheetFormatPr defaultRowHeight="15" x14ac:dyDescent="0.25"/>
  <cols>
    <col min="2" max="2" width="18.42578125" bestFit="1" customWidth="1"/>
    <col min="3" max="3" width="37.28515625" bestFit="1" customWidth="1"/>
    <col min="4" max="4" width="2.42578125" bestFit="1" customWidth="1"/>
    <col min="5" max="5" width="22.28515625" bestFit="1" customWidth="1"/>
  </cols>
  <sheetData>
    <row r="2" spans="2:5" ht="15.75" thickBot="1" x14ac:dyDescent="0.3"/>
    <row r="3" spans="2:5" x14ac:dyDescent="0.25">
      <c r="B3" s="4"/>
      <c r="C3" s="10" t="s">
        <v>5</v>
      </c>
      <c r="D3" s="5"/>
      <c r="E3" s="11" t="s">
        <v>17</v>
      </c>
    </row>
    <row r="4" spans="2:5" x14ac:dyDescent="0.25">
      <c r="B4" s="6" t="s">
        <v>6</v>
      </c>
      <c r="C4" s="17" t="s">
        <v>33</v>
      </c>
      <c r="D4" s="1"/>
      <c r="E4" s="7"/>
    </row>
    <row r="5" spans="2:5" x14ac:dyDescent="0.25">
      <c r="B5" s="6" t="s">
        <v>7</v>
      </c>
      <c r="C5" s="17" t="s">
        <v>34</v>
      </c>
      <c r="D5" s="1"/>
      <c r="E5" s="7"/>
    </row>
    <row r="6" spans="2:5" x14ac:dyDescent="0.25">
      <c r="B6" s="6" t="s">
        <v>8</v>
      </c>
      <c r="C6" s="17" t="s">
        <v>35</v>
      </c>
      <c r="D6" s="1"/>
      <c r="E6" s="7"/>
    </row>
    <row r="7" spans="2:5" x14ac:dyDescent="0.25">
      <c r="B7" s="6" t="s">
        <v>9</v>
      </c>
      <c r="C7" s="17" t="s">
        <v>47</v>
      </c>
      <c r="D7" s="1"/>
      <c r="E7" s="7"/>
    </row>
    <row r="8" spans="2:5" x14ac:dyDescent="0.25">
      <c r="B8" s="6" t="s">
        <v>10</v>
      </c>
      <c r="C8" s="18" t="s">
        <v>36</v>
      </c>
      <c r="D8" s="1"/>
      <c r="E8" s="7" t="s">
        <v>18</v>
      </c>
    </row>
    <row r="9" spans="2:5" x14ac:dyDescent="0.25">
      <c r="B9" s="6" t="s">
        <v>11</v>
      </c>
      <c r="C9" s="17" t="s">
        <v>37</v>
      </c>
      <c r="D9" s="1"/>
      <c r="E9" s="7" t="s">
        <v>19</v>
      </c>
    </row>
    <row r="10" spans="2:5" x14ac:dyDescent="0.25">
      <c r="B10" s="6" t="s">
        <v>25</v>
      </c>
      <c r="C10" s="17" t="s">
        <v>38</v>
      </c>
      <c r="D10" s="1"/>
      <c r="E10" s="7" t="s">
        <v>16</v>
      </c>
    </row>
    <row r="11" spans="2:5" x14ac:dyDescent="0.25">
      <c r="B11" s="6" t="s">
        <v>24</v>
      </c>
      <c r="C11" s="17">
        <v>10</v>
      </c>
      <c r="D11" s="1" t="s">
        <v>12</v>
      </c>
      <c r="E11" s="7" t="s">
        <v>16</v>
      </c>
    </row>
    <row r="12" spans="2:5" x14ac:dyDescent="0.25">
      <c r="B12" s="6" t="s">
        <v>26</v>
      </c>
      <c r="C12" s="17" t="s">
        <v>15</v>
      </c>
      <c r="D12" s="1"/>
      <c r="E12" s="7" t="s">
        <v>16</v>
      </c>
    </row>
    <row r="13" spans="2:5" x14ac:dyDescent="0.25">
      <c r="B13" s="6" t="s">
        <v>27</v>
      </c>
      <c r="C13" s="17">
        <v>25</v>
      </c>
      <c r="D13" s="1" t="s">
        <v>12</v>
      </c>
      <c r="E13" s="7" t="s">
        <v>16</v>
      </c>
    </row>
    <row r="14" spans="2:5" x14ac:dyDescent="0.25">
      <c r="B14" s="12" t="s">
        <v>28</v>
      </c>
      <c r="C14" s="17" t="s">
        <v>38</v>
      </c>
      <c r="D14" s="13"/>
      <c r="E14" s="7" t="s">
        <v>16</v>
      </c>
    </row>
    <row r="15" spans="2:5" x14ac:dyDescent="0.25">
      <c r="B15" s="12" t="s">
        <v>29</v>
      </c>
      <c r="C15" s="17">
        <v>15</v>
      </c>
      <c r="D15" s="1" t="s">
        <v>12</v>
      </c>
      <c r="E15" s="7" t="s">
        <v>16</v>
      </c>
    </row>
    <row r="16" spans="2:5" x14ac:dyDescent="0.25">
      <c r="B16" s="12" t="s">
        <v>30</v>
      </c>
      <c r="C16" s="17" t="s">
        <v>41</v>
      </c>
      <c r="D16" s="13"/>
      <c r="E16" s="7" t="s">
        <v>16</v>
      </c>
    </row>
    <row r="17" spans="2:5" x14ac:dyDescent="0.25">
      <c r="B17" s="12" t="s">
        <v>31</v>
      </c>
      <c r="C17" s="17">
        <v>10</v>
      </c>
      <c r="D17" s="1" t="s">
        <v>12</v>
      </c>
      <c r="E17" s="7" t="s">
        <v>16</v>
      </c>
    </row>
    <row r="18" spans="2:5" ht="15.75" thickBot="1" x14ac:dyDescent="0.3">
      <c r="B18" s="8" t="s">
        <v>13</v>
      </c>
      <c r="C18" s="19">
        <v>50</v>
      </c>
      <c r="D18" s="9" t="s">
        <v>12</v>
      </c>
      <c r="E18" s="7" t="s">
        <v>16</v>
      </c>
    </row>
  </sheetData>
  <dataValidations count="3">
    <dataValidation type="list" allowBlank="1" showInputMessage="1" showErrorMessage="1" sqref="C18">
      <formula1>"50,55,60,65,70,75,80,85,90,95"</formula1>
    </dataValidation>
    <dataValidation type="list" allowBlank="1" showInputMessage="1" showErrorMessage="1" sqref="C10 C12 C14 C16">
      <formula1>"Yapılmadı,Ara Sınav,Ödev,Uygulama"</formula1>
    </dataValidation>
    <dataValidation type="list" allowBlank="1" showInputMessage="1" showErrorMessage="1" sqref="C11 C13 C15 C17">
      <formula1>"5,10,15,20,25,30,35,40,45,50"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>
    <pageSetUpPr fitToPage="1"/>
  </sheetPr>
  <dimension ref="A2:R37"/>
  <sheetViews>
    <sheetView topLeftCell="A4" zoomScaleNormal="100" workbookViewId="0">
      <selection activeCell="R11" sqref="R11"/>
    </sheetView>
  </sheetViews>
  <sheetFormatPr defaultRowHeight="15" x14ac:dyDescent="0.25"/>
  <cols>
    <col min="1" max="1" width="8.85546875" customWidth="1"/>
    <col min="2" max="2" width="18.85546875" customWidth="1"/>
    <col min="3" max="3" width="16.7109375" customWidth="1"/>
    <col min="4" max="4" width="14.42578125" customWidth="1"/>
    <col min="5" max="5" width="14.5703125" customWidth="1"/>
    <col min="6" max="10" width="14.42578125" customWidth="1"/>
    <col min="11" max="11" width="14" customWidth="1"/>
    <col min="12" max="12" width="14.42578125" customWidth="1"/>
    <col min="13" max="13" width="9.140625" customWidth="1"/>
  </cols>
  <sheetData>
    <row r="2" spans="1:18" ht="20.100000000000001" customHeight="1" x14ac:dyDescent="0.25">
      <c r="A2" s="25" t="s">
        <v>4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</row>
    <row r="3" spans="1:18" ht="20.100000000000001" customHeight="1" x14ac:dyDescent="0.2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</row>
    <row r="4" spans="1:18" ht="20.100000000000001" customHeight="1" x14ac:dyDescent="0.2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</row>
    <row r="5" spans="1:18" ht="20.100000000000001" customHeight="1" x14ac:dyDescent="0.25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</row>
    <row r="6" spans="1:18" ht="20.100000000000001" customHeight="1" x14ac:dyDescent="0.25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8" x14ac:dyDescent="0.25">
      <c r="A7" s="14" t="str">
        <f>"Ders Kodu          : "&amp;Bilgiler!C4</f>
        <v>Ders Kodu          : DHE H1193</v>
      </c>
      <c r="B7" s="14"/>
    </row>
    <row r="8" spans="1:18" x14ac:dyDescent="0.25">
      <c r="A8" s="14" t="str">
        <f>"Ders Adı             : "&amp;Bilgiler!C5</f>
        <v>Ders Adı             : Algoritma Tasarımı ve Analizi</v>
      </c>
      <c r="B8" s="14"/>
    </row>
    <row r="9" spans="1:18" x14ac:dyDescent="0.25">
      <c r="A9" s="14" t="str">
        <f>"Ana Bilim Dalı  : "&amp;Bilgiler!C6</f>
        <v>Ana Bilim Dalı  : Bilgisayar Mühendisliği/Siber Güvenlik</v>
      </c>
      <c r="B9" s="14"/>
    </row>
    <row r="10" spans="1:18" x14ac:dyDescent="0.25">
      <c r="A10" s="14" t="str">
        <f>"Programı            : "&amp;Bilgiler!C7</f>
        <v>Programı            : Yüksek Lisans/Doktora</v>
      </c>
      <c r="B10" s="14"/>
    </row>
    <row r="11" spans="1:18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8" ht="24.95" customHeight="1" x14ac:dyDescent="0.25">
      <c r="A12" s="30" t="s">
        <v>0</v>
      </c>
      <c r="B12" s="31"/>
      <c r="C12" s="34" t="s">
        <v>39</v>
      </c>
      <c r="D12" s="29"/>
      <c r="E12" s="34" t="s">
        <v>20</v>
      </c>
      <c r="F12" s="29"/>
      <c r="G12" s="37" t="s">
        <v>40</v>
      </c>
      <c r="H12" s="37"/>
      <c r="I12" s="37" t="s">
        <v>32</v>
      </c>
      <c r="J12" s="37"/>
      <c r="K12" s="28" t="s">
        <v>1</v>
      </c>
      <c r="L12" s="29"/>
      <c r="M12" s="35" t="s">
        <v>3</v>
      </c>
    </row>
    <row r="13" spans="1:18" ht="15" customHeight="1" x14ac:dyDescent="0.25">
      <c r="A13" s="32"/>
      <c r="B13" s="33"/>
      <c r="C13" s="3" t="s">
        <v>2</v>
      </c>
      <c r="D13" s="3" t="str">
        <f>"Etki Oranı (%"&amp;Bilgiler!C11&amp;")"</f>
        <v>Etki Oranı (%10)</v>
      </c>
      <c r="E13" s="3" t="s">
        <v>2</v>
      </c>
      <c r="F13" s="3" t="str">
        <f>"Etki Oranı (%"&amp;Bilgiler!C13&amp;")"</f>
        <v>Etki Oranı (%25)</v>
      </c>
      <c r="G13" s="3" t="s">
        <v>2</v>
      </c>
      <c r="H13" s="3" t="str">
        <f>"Etki Oranı (%"&amp;Bilgiler!C15&amp;")"</f>
        <v>Etki Oranı (%15)</v>
      </c>
      <c r="I13" s="3" t="s">
        <v>2</v>
      </c>
      <c r="J13" s="3" t="str">
        <f>"Etki Oranı (%"&amp;Bilgiler!C17&amp;")"</f>
        <v>Etki Oranı (%10)</v>
      </c>
      <c r="K13" s="3" t="s">
        <v>2</v>
      </c>
      <c r="L13" s="3" t="str">
        <f>"Etki Oranı (%"&amp;Bilgiler!C18&amp;")"</f>
        <v>Etki Oranı (%50)</v>
      </c>
      <c r="M13" s="36"/>
      <c r="P13" s="2"/>
      <c r="Q13" s="2"/>
      <c r="R13" s="2"/>
    </row>
    <row r="14" spans="1:18" x14ac:dyDescent="0.25">
      <c r="A14" s="23" t="s">
        <v>42</v>
      </c>
      <c r="B14" s="24" t="s">
        <v>42</v>
      </c>
      <c r="C14" s="17">
        <v>92</v>
      </c>
      <c r="D14" s="1">
        <v>9.1999999999999993</v>
      </c>
      <c r="E14" s="17">
        <v>30</v>
      </c>
      <c r="F14" s="1">
        <v>7.5</v>
      </c>
      <c r="G14" s="17">
        <v>80</v>
      </c>
      <c r="H14" s="1">
        <v>12</v>
      </c>
      <c r="I14" s="17"/>
      <c r="J14" s="1"/>
      <c r="K14" s="17">
        <v>85</v>
      </c>
      <c r="L14" s="1">
        <v>42.5</v>
      </c>
      <c r="M14" s="1">
        <v>71.2</v>
      </c>
    </row>
    <row r="15" spans="1:18" ht="15" customHeight="1" x14ac:dyDescent="0.25">
      <c r="A15" s="23" t="s">
        <v>43</v>
      </c>
      <c r="B15" s="24" t="s">
        <v>43</v>
      </c>
      <c r="C15" s="17">
        <v>100</v>
      </c>
      <c r="D15" s="1">
        <v>10</v>
      </c>
      <c r="E15" s="17">
        <v>42</v>
      </c>
      <c r="F15" s="1">
        <v>10.5</v>
      </c>
      <c r="G15" s="17">
        <v>95</v>
      </c>
      <c r="H15" s="1">
        <v>14.25</v>
      </c>
      <c r="I15" s="17"/>
      <c r="J15" s="1"/>
      <c r="K15" s="17">
        <v>95</v>
      </c>
      <c r="L15" s="1">
        <v>47.5</v>
      </c>
      <c r="M15" s="1">
        <v>82.25</v>
      </c>
    </row>
    <row r="16" spans="1:18" x14ac:dyDescent="0.25">
      <c r="A16" s="23" t="s">
        <v>44</v>
      </c>
      <c r="B16" s="24" t="s">
        <v>44</v>
      </c>
      <c r="C16" s="17">
        <v>61</v>
      </c>
      <c r="D16" s="1">
        <v>6.1</v>
      </c>
      <c r="E16" s="17">
        <v>35</v>
      </c>
      <c r="F16" s="1">
        <v>8.75</v>
      </c>
      <c r="G16" s="17">
        <v>90</v>
      </c>
      <c r="H16" s="1">
        <v>13.5</v>
      </c>
      <c r="I16" s="17"/>
      <c r="J16" s="1"/>
      <c r="K16" s="17">
        <v>95</v>
      </c>
      <c r="L16" s="1">
        <v>47.5</v>
      </c>
      <c r="M16" s="1">
        <v>75.849999999999994</v>
      </c>
    </row>
    <row r="17" spans="1:13" x14ac:dyDescent="0.25">
      <c r="A17" s="23" t="s">
        <v>45</v>
      </c>
      <c r="B17" s="24" t="s">
        <v>45</v>
      </c>
      <c r="C17" s="17">
        <v>92</v>
      </c>
      <c r="D17" s="1">
        <v>9.1999999999999993</v>
      </c>
      <c r="E17" s="17">
        <v>58</v>
      </c>
      <c r="F17" s="1">
        <v>14.5</v>
      </c>
      <c r="G17" s="17">
        <v>85</v>
      </c>
      <c r="H17" s="1">
        <v>12.75</v>
      </c>
      <c r="I17" s="17"/>
      <c r="J17" s="1"/>
      <c r="K17" s="17">
        <v>85</v>
      </c>
      <c r="L17" s="1">
        <v>42.5</v>
      </c>
      <c r="M17" s="1">
        <v>78.95</v>
      </c>
    </row>
    <row r="18" spans="1:13" x14ac:dyDescent="0.25">
      <c r="A18" s="23" t="s">
        <v>46</v>
      </c>
      <c r="B18" s="24" t="s">
        <v>46</v>
      </c>
      <c r="C18" s="17">
        <v>82</v>
      </c>
      <c r="D18" s="1">
        <v>8.1999999999999993</v>
      </c>
      <c r="E18" s="17">
        <v>50</v>
      </c>
      <c r="F18" s="1">
        <v>12.5</v>
      </c>
      <c r="G18" s="17">
        <v>90</v>
      </c>
      <c r="H18" s="1">
        <v>13.5</v>
      </c>
      <c r="I18" s="17"/>
      <c r="J18" s="1"/>
      <c r="K18" s="17">
        <v>85</v>
      </c>
      <c r="L18" s="1">
        <v>42.5</v>
      </c>
      <c r="M18" s="1">
        <v>76.7</v>
      </c>
    </row>
    <row r="19" spans="1:13" x14ac:dyDescent="0.25">
      <c r="A19" s="23"/>
      <c r="B19" s="24"/>
      <c r="C19" s="17"/>
      <c r="D19" s="1"/>
      <c r="E19" s="17"/>
      <c r="F19" s="1"/>
      <c r="G19" s="17"/>
      <c r="H19" s="1"/>
      <c r="I19" s="17"/>
      <c r="J19" s="1"/>
      <c r="K19" s="17"/>
      <c r="L19" s="1"/>
      <c r="M19" s="1"/>
    </row>
    <row r="20" spans="1:13" x14ac:dyDescent="0.25">
      <c r="A20" s="23"/>
      <c r="B20" s="24"/>
      <c r="C20" s="17"/>
      <c r="D20" s="1"/>
      <c r="E20" s="17"/>
      <c r="F20" s="1"/>
      <c r="G20" s="17"/>
      <c r="H20" s="1"/>
      <c r="I20" s="17"/>
      <c r="J20" s="1"/>
      <c r="K20" s="17"/>
      <c r="L20" s="1"/>
      <c r="M20" s="1"/>
    </row>
    <row r="21" spans="1:13" x14ac:dyDescent="0.25">
      <c r="A21" s="23"/>
      <c r="B21" s="24"/>
      <c r="C21" s="17"/>
      <c r="D21" s="1"/>
      <c r="E21" s="17"/>
      <c r="F21" s="1"/>
      <c r="G21" s="17"/>
      <c r="H21" s="1"/>
      <c r="I21" s="17"/>
      <c r="J21" s="1"/>
      <c r="K21" s="17"/>
      <c r="L21" s="1"/>
      <c r="M21" s="1"/>
    </row>
    <row r="22" spans="1:13" x14ac:dyDescent="0.25">
      <c r="A22" s="23"/>
      <c r="B22" s="24"/>
      <c r="C22" s="17"/>
      <c r="D22" s="1"/>
      <c r="E22" s="17"/>
      <c r="F22" s="1"/>
      <c r="G22" s="17"/>
      <c r="H22" s="1"/>
      <c r="I22" s="17"/>
      <c r="J22" s="1"/>
      <c r="K22" s="17"/>
      <c r="L22" s="1"/>
      <c r="M22" s="1"/>
    </row>
    <row r="23" spans="1:13" x14ac:dyDescent="0.25">
      <c r="A23" s="23"/>
      <c r="B23" s="24"/>
      <c r="C23" s="17"/>
      <c r="D23" s="1"/>
      <c r="E23" s="17"/>
      <c r="F23" s="1"/>
      <c r="G23" s="17"/>
      <c r="H23" s="1"/>
      <c r="I23" s="17"/>
      <c r="J23" s="1"/>
      <c r="K23" s="17"/>
      <c r="L23" s="1"/>
      <c r="M23" s="1"/>
    </row>
    <row r="24" spans="1:13" x14ac:dyDescent="0.25">
      <c r="A24" s="23"/>
      <c r="B24" s="24"/>
      <c r="C24" s="17"/>
      <c r="D24" s="1"/>
      <c r="E24" s="17"/>
      <c r="F24" s="1"/>
      <c r="G24" s="17"/>
      <c r="H24" s="1"/>
      <c r="I24" s="17"/>
      <c r="J24" s="1"/>
      <c r="K24" s="17"/>
      <c r="L24" s="1"/>
      <c r="M24" s="1"/>
    </row>
    <row r="25" spans="1:13" x14ac:dyDescent="0.25">
      <c r="A25" s="23"/>
      <c r="B25" s="24"/>
      <c r="C25" s="17"/>
      <c r="D25" s="1"/>
      <c r="E25" s="17"/>
      <c r="F25" s="1"/>
      <c r="G25" s="17"/>
      <c r="H25" s="1"/>
      <c r="I25" s="17"/>
      <c r="J25" s="1"/>
      <c r="K25" s="17"/>
      <c r="L25" s="1"/>
      <c r="M25" s="1"/>
    </row>
    <row r="26" spans="1:13" x14ac:dyDescent="0.25">
      <c r="A26" s="23"/>
      <c r="B26" s="24"/>
      <c r="C26" s="17"/>
      <c r="D26" s="1"/>
      <c r="E26" s="17"/>
      <c r="F26" s="1"/>
      <c r="G26" s="17"/>
      <c r="H26" s="1"/>
      <c r="I26" s="17"/>
      <c r="J26" s="1"/>
      <c r="K26" s="17"/>
      <c r="L26" s="1"/>
      <c r="M26" s="1"/>
    </row>
    <row r="27" spans="1:13" x14ac:dyDescent="0.25">
      <c r="A27" s="23"/>
      <c r="B27" s="24"/>
      <c r="C27" s="17"/>
      <c r="D27" s="1"/>
      <c r="E27" s="17"/>
      <c r="F27" s="1"/>
      <c r="G27" s="17"/>
      <c r="H27" s="1"/>
      <c r="I27" s="17"/>
      <c r="J27" s="1"/>
      <c r="K27" s="17"/>
      <c r="L27" s="1"/>
      <c r="M27" s="1"/>
    </row>
    <row r="28" spans="1:13" x14ac:dyDescent="0.25">
      <c r="A28" s="23"/>
      <c r="B28" s="24"/>
      <c r="C28" s="17"/>
      <c r="D28" s="1"/>
      <c r="E28" s="17"/>
      <c r="F28" s="1"/>
      <c r="G28" s="17"/>
      <c r="H28" s="1"/>
      <c r="I28" s="17"/>
      <c r="J28" s="1"/>
      <c r="K28" s="17"/>
      <c r="L28" s="1"/>
      <c r="M28" s="1"/>
    </row>
    <row r="30" spans="1:13" ht="15" customHeight="1" x14ac:dyDescent="0.25">
      <c r="A30" s="20" t="s">
        <v>22</v>
      </c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2" t="str">
        <f>Bilgiler!C8</f>
        <v>Dr.Öğr. Üyesi</v>
      </c>
      <c r="M30" s="22"/>
    </row>
    <row r="31" spans="1:13" x14ac:dyDescent="0.25">
      <c r="A31" s="20" t="s">
        <v>23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1" t="str">
        <f>Bilgiler!C9</f>
        <v>Musa MİLLİ</v>
      </c>
      <c r="M31" s="21"/>
    </row>
    <row r="32" spans="1:13" ht="14.45" customHeight="1" x14ac:dyDescent="0.25">
      <c r="A32" s="20" t="s">
        <v>21</v>
      </c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1" t="s">
        <v>14</v>
      </c>
      <c r="M32" s="21"/>
    </row>
    <row r="33" spans="1:13" ht="15" customHeight="1" x14ac:dyDescent="0.25">
      <c r="L33" s="15"/>
      <c r="M33" s="15"/>
    </row>
    <row r="34" spans="1:13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</row>
    <row r="35" spans="1:13" ht="15" customHeight="1" x14ac:dyDescent="0.25">
      <c r="L35" s="16"/>
      <c r="M35" s="16"/>
    </row>
    <row r="36" spans="1:13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</row>
    <row r="37" spans="1:13" ht="15" customHeight="1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</row>
  </sheetData>
  <mergeCells count="31">
    <mergeCell ref="A14:B14"/>
    <mergeCell ref="A15:B15"/>
    <mergeCell ref="A16:B16"/>
    <mergeCell ref="A2:M5"/>
    <mergeCell ref="A6:M6"/>
    <mergeCell ref="A11:M11"/>
    <mergeCell ref="K12:L12"/>
    <mergeCell ref="A12:B13"/>
    <mergeCell ref="C12:D12"/>
    <mergeCell ref="E12:F12"/>
    <mergeCell ref="M12:M13"/>
    <mergeCell ref="G12:H12"/>
    <mergeCell ref="I12:J12"/>
    <mergeCell ref="A27:B27"/>
    <mergeCell ref="A28:B28"/>
    <mergeCell ref="A17:B17"/>
    <mergeCell ref="A18:B18"/>
    <mergeCell ref="A19:B19"/>
    <mergeCell ref="A25:B25"/>
    <mergeCell ref="A26:B26"/>
    <mergeCell ref="A20:B20"/>
    <mergeCell ref="A21:B21"/>
    <mergeCell ref="A22:B22"/>
    <mergeCell ref="A23:B23"/>
    <mergeCell ref="A24:B24"/>
    <mergeCell ref="A30:K30"/>
    <mergeCell ref="A31:K31"/>
    <mergeCell ref="A32:K32"/>
    <mergeCell ref="L31:M31"/>
    <mergeCell ref="L32:M32"/>
    <mergeCell ref="L30:M30"/>
  </mergeCells>
  <pageMargins left="0.7" right="0.7" top="0.75" bottom="0.75" header="0.3" footer="0.3"/>
  <pageSetup scale="66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Bilgiler</vt:lpstr>
      <vt:lpstr>Liste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2023-01-30T05:39:18Z</dcterms:modified>
</cp:coreProperties>
</file>